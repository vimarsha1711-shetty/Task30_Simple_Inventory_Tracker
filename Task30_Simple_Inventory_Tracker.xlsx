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racker" sheetId="1" state="visible" r:id="rId1"/>
    <sheet xmlns:r="http://schemas.openxmlformats.org/officeDocument/2006/relationships" name="Low-Stock Repor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'Inventory Tracker'!$A$1:$K$16</definedName>
    <definedName name="_xlnm._FilterDatabase" localSheetId="1" hidden="1">'Low-Stock Report'!$A$1:$I$16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9C0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ventoryTable" displayName="InventoryTable" ref="A1:K16" headerRowCount="1">
  <autoFilter ref="A1:K16"/>
  <tableColumns count="11">
    <tableColumn id="1" name="Item ID"/>
    <tableColumn id="2" name="Item Name"/>
    <tableColumn id="3" name="Category"/>
    <tableColumn id="4" name="Department"/>
    <tableColumn id="5" name="Current Stock"/>
    <tableColumn id="6" name="Reorder Level"/>
    <tableColumn id="7" name="Reorder Quantity"/>
    <tableColumn id="8" name="Unit"/>
    <tableColumn id="9" name="Supplier"/>
    <tableColumn id="10" name="Stock Status"/>
    <tableColumn id="11" name="Recommended A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20" customWidth="1" min="4" max="4"/>
    <col width="15" customWidth="1" min="5" max="5"/>
    <col width="15" customWidth="1" min="6" max="6"/>
    <col width="18" customWidth="1" min="7" max="7"/>
    <col width="12" customWidth="1" min="8" max="8"/>
    <col width="20" customWidth="1" min="9" max="9"/>
    <col width="16" customWidth="1" min="10" max="10"/>
    <col width="26" customWidth="1" min="11" max="11"/>
  </cols>
  <sheetData>
    <row r="1" ht="34" customHeight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Department</t>
        </is>
      </c>
      <c r="E1" s="1" t="inlineStr">
        <is>
          <t>Current Stock</t>
        </is>
      </c>
      <c r="F1" s="1" t="inlineStr">
        <is>
          <t>Reorder Level</t>
        </is>
      </c>
      <c r="G1" s="1" t="inlineStr">
        <is>
          <t>Reorder Quantity</t>
        </is>
      </c>
      <c r="H1" s="1" t="inlineStr">
        <is>
          <t>Unit</t>
        </is>
      </c>
      <c r="I1" s="1" t="inlineStr">
        <is>
          <t>Supplier</t>
        </is>
      </c>
      <c r="J1" s="1" t="inlineStr">
        <is>
          <t>Stock Status</t>
        </is>
      </c>
      <c r="K1" s="1" t="inlineStr">
        <is>
          <t>Recommended Action</t>
        </is>
      </c>
    </row>
    <row r="2">
      <c r="A2" s="2" t="inlineStr">
        <is>
          <t>ITM001</t>
        </is>
      </c>
      <c r="B2" s="2" t="inlineStr">
        <is>
          <t>Notebook</t>
        </is>
      </c>
      <c r="C2" s="2" t="inlineStr">
        <is>
          <t>Stationery</t>
        </is>
      </c>
      <c r="D2" s="2" t="inlineStr">
        <is>
          <t>Office Supplies</t>
        </is>
      </c>
      <c r="E2" s="2" t="n">
        <v>120</v>
      </c>
      <c r="F2" s="2" t="n">
        <v>25</v>
      </c>
      <c r="G2" s="2" t="n">
        <v>10</v>
      </c>
      <c r="H2" s="2" t="inlineStr">
        <is>
          <t>pcs</t>
        </is>
      </c>
      <c r="I2" s="2" t="inlineStr">
        <is>
          <t>Local Supplier</t>
        </is>
      </c>
      <c r="J2" s="2">
        <f>IF(E2&lt;=F2,"REORDER","IN STOCK")</f>
        <v/>
      </c>
      <c r="K2" s="2">
        <f>IF(E2&lt;=F2,"Order "&amp;G2&amp;" "&amp;H2,"No action needed")</f>
        <v/>
      </c>
    </row>
    <row r="3">
      <c r="A3" s="2" t="inlineStr">
        <is>
          <t>ITM002</t>
        </is>
      </c>
      <c r="B3" s="2" t="inlineStr">
        <is>
          <t>Blue Pen</t>
        </is>
      </c>
      <c r="C3" s="2" t="inlineStr">
        <is>
          <t>Stationery</t>
        </is>
      </c>
      <c r="D3" s="2" t="inlineStr">
        <is>
          <t>Office Supplies</t>
        </is>
      </c>
      <c r="E3" s="2" t="n">
        <v>45</v>
      </c>
      <c r="F3" s="2" t="n">
        <v>15</v>
      </c>
      <c r="G3" s="2" t="n">
        <v>20</v>
      </c>
      <c r="H3" s="2" t="inlineStr">
        <is>
          <t>pcs</t>
        </is>
      </c>
      <c r="I3" s="2" t="inlineStr">
        <is>
          <t>Local Supplier</t>
        </is>
      </c>
      <c r="J3" s="2">
        <f>IF(E3&lt;=F3,"REORDER","IN STOCK")</f>
        <v/>
      </c>
      <c r="K3" s="2">
        <f>IF(E3&lt;=F3,"Order "&amp;G3&amp;" "&amp;H3,"No action needed")</f>
        <v/>
      </c>
    </row>
    <row r="4">
      <c r="A4" s="2" t="inlineStr">
        <is>
          <t>ITM003</t>
        </is>
      </c>
      <c r="B4" s="2" t="inlineStr">
        <is>
          <t>A4 Paper Pack</t>
        </is>
      </c>
      <c r="C4" s="2" t="inlineStr">
        <is>
          <t>Paper</t>
        </is>
      </c>
      <c r="D4" s="2" t="inlineStr">
        <is>
          <t>Office Supplies</t>
        </is>
      </c>
      <c r="E4" s="2" t="n">
        <v>18</v>
      </c>
      <c r="F4" s="2" t="n">
        <v>10</v>
      </c>
      <c r="G4" s="2" t="n">
        <v>25</v>
      </c>
      <c r="H4" s="2" t="inlineStr">
        <is>
          <t>packs</t>
        </is>
      </c>
      <c r="I4" s="2" t="inlineStr">
        <is>
          <t>Paper World</t>
        </is>
      </c>
      <c r="J4" s="2">
        <f>IF(E4&lt;=F4,"REORDER","IN STOCK")</f>
        <v/>
      </c>
      <c r="K4" s="2">
        <f>IF(E4&lt;=F4,"Order "&amp;G4&amp;" "&amp;H4,"No action needed")</f>
        <v/>
      </c>
    </row>
    <row r="5">
      <c r="A5" s="2" t="inlineStr">
        <is>
          <t>ITM004</t>
        </is>
      </c>
      <c r="B5" s="2" t="inlineStr">
        <is>
          <t>Stapler</t>
        </is>
      </c>
      <c r="C5" s="2" t="inlineStr">
        <is>
          <t>Stationery</t>
        </is>
      </c>
      <c r="D5" s="2" t="inlineStr">
        <is>
          <t>Office Supplies</t>
        </is>
      </c>
      <c r="E5" s="2" t="n">
        <v>8</v>
      </c>
      <c r="F5" s="2" t="n">
        <v>5</v>
      </c>
      <c r="G5" s="2" t="n">
        <v>12</v>
      </c>
      <c r="H5" s="2" t="inlineStr">
        <is>
          <t>pcs</t>
        </is>
      </c>
      <c r="I5" s="2" t="inlineStr">
        <is>
          <t>Office Mart</t>
        </is>
      </c>
      <c r="J5" s="2">
        <f>IF(E5&lt;=F5,"REORDER","IN STOCK")</f>
        <v/>
      </c>
      <c r="K5" s="2">
        <f>IF(E5&lt;=F5,"Order "&amp;G5&amp;" "&amp;H5,"No action needed")</f>
        <v/>
      </c>
    </row>
    <row r="6">
      <c r="A6" s="2" t="inlineStr">
        <is>
          <t>ITM005</t>
        </is>
      </c>
      <c r="B6" s="2" t="inlineStr">
        <is>
          <t>USB Drive 32GB</t>
        </is>
      </c>
      <c r="C6" s="2" t="inlineStr">
        <is>
          <t>Electronics</t>
        </is>
      </c>
      <c r="D6" s="2" t="inlineStr">
        <is>
          <t>IT Accessories</t>
        </is>
      </c>
      <c r="E6" s="2" t="n">
        <v>6</v>
      </c>
      <c r="F6" s="2" t="n">
        <v>10</v>
      </c>
      <c r="G6" s="2" t="n">
        <v>18</v>
      </c>
      <c r="H6" s="2" t="inlineStr">
        <is>
          <t>pcs</t>
        </is>
      </c>
      <c r="I6" s="2" t="inlineStr">
        <is>
          <t>Tech Supplier</t>
        </is>
      </c>
      <c r="J6" s="2">
        <f>IF(E6&lt;=F6,"REORDER","IN STOCK")</f>
        <v/>
      </c>
      <c r="K6" s="2">
        <f>IF(E6&lt;=F6,"Order "&amp;G6&amp;" "&amp;H6,"No action needed")</f>
        <v/>
      </c>
    </row>
    <row r="7">
      <c r="A7" s="2" t="inlineStr">
        <is>
          <t>ITM006</t>
        </is>
      </c>
      <c r="B7" s="2" t="inlineStr">
        <is>
          <t>Wireless Mouse</t>
        </is>
      </c>
      <c r="C7" s="2" t="inlineStr">
        <is>
          <t>Electronics</t>
        </is>
      </c>
      <c r="D7" s="2" t="inlineStr">
        <is>
          <t>IT Accessories</t>
        </is>
      </c>
      <c r="E7" s="2" t="n">
        <v>22</v>
      </c>
      <c r="F7" s="2" t="n">
        <v>8</v>
      </c>
      <c r="G7" s="2" t="n">
        <v>15</v>
      </c>
      <c r="H7" s="2" t="inlineStr">
        <is>
          <t>pcs</t>
        </is>
      </c>
      <c r="I7" s="2" t="inlineStr">
        <is>
          <t>Tech Supplier</t>
        </is>
      </c>
      <c r="J7" s="2">
        <f>IF(E7&lt;=F7,"REORDER","IN STOCK")</f>
        <v/>
      </c>
      <c r="K7" s="2">
        <f>IF(E7&lt;=F7,"Order "&amp;G7&amp;" "&amp;H7,"No action needed")</f>
        <v/>
      </c>
    </row>
    <row r="8">
      <c r="A8" s="2" t="inlineStr">
        <is>
          <t>ITM007</t>
        </is>
      </c>
      <c r="B8" s="2" t="inlineStr">
        <is>
          <t>Keyboard</t>
        </is>
      </c>
      <c r="C8" s="2" t="inlineStr">
        <is>
          <t>Electronics</t>
        </is>
      </c>
      <c r="D8" s="2" t="inlineStr">
        <is>
          <t>IT Accessories</t>
        </is>
      </c>
      <c r="E8" s="2" t="n">
        <v>7</v>
      </c>
      <c r="F8" s="2" t="n">
        <v>10</v>
      </c>
      <c r="G8" s="2" t="n">
        <v>20</v>
      </c>
      <c r="H8" s="2" t="inlineStr">
        <is>
          <t>pcs</t>
        </is>
      </c>
      <c r="I8" s="2" t="inlineStr">
        <is>
          <t>Tech Supplier</t>
        </is>
      </c>
      <c r="J8" s="2">
        <f>IF(E8&lt;=F8,"REORDER","IN STOCK")</f>
        <v/>
      </c>
      <c r="K8" s="2">
        <f>IF(E8&lt;=F8,"Order "&amp;G8&amp;" "&amp;H8,"No action needed")</f>
        <v/>
      </c>
    </row>
    <row r="9">
      <c r="A9" s="2" t="inlineStr">
        <is>
          <t>ITM008</t>
        </is>
      </c>
      <c r="B9" s="2" t="inlineStr">
        <is>
          <t>HDMI Cable</t>
        </is>
      </c>
      <c r="C9" s="2" t="inlineStr">
        <is>
          <t>Electronics</t>
        </is>
      </c>
      <c r="D9" s="2" t="inlineStr">
        <is>
          <t>IT Accessories</t>
        </is>
      </c>
      <c r="E9" s="2" t="n">
        <v>14</v>
      </c>
      <c r="F9" s="2" t="n">
        <v>6</v>
      </c>
      <c r="G9" s="2" t="n">
        <v>10</v>
      </c>
      <c r="H9" s="2" t="inlineStr">
        <is>
          <t>pcs</t>
        </is>
      </c>
      <c r="I9" s="2" t="inlineStr">
        <is>
          <t>Tech Supplier</t>
        </is>
      </c>
      <c r="J9" s="2">
        <f>IF(E9&lt;=F9,"REORDER","IN STOCK")</f>
        <v/>
      </c>
      <c r="K9" s="2">
        <f>IF(E9&lt;=F9,"Order "&amp;G9&amp;" "&amp;H9,"No action needed")</f>
        <v/>
      </c>
    </row>
    <row r="10">
      <c r="A10" s="2" t="inlineStr">
        <is>
          <t>ITM009</t>
        </is>
      </c>
      <c r="B10" s="2" t="inlineStr">
        <is>
          <t>Cleaning Liquid</t>
        </is>
      </c>
      <c r="C10" s="2" t="inlineStr">
        <is>
          <t>Cleaning</t>
        </is>
      </c>
      <c r="D10" s="2" t="inlineStr">
        <is>
          <t>Facilities</t>
        </is>
      </c>
      <c r="E10" s="2" t="n">
        <v>4</v>
      </c>
      <c r="F10" s="2" t="n">
        <v>8</v>
      </c>
      <c r="G10" s="2" t="n">
        <v>10</v>
      </c>
      <c r="H10" s="2" t="inlineStr">
        <is>
          <t>bottles</t>
        </is>
      </c>
      <c r="I10" s="2" t="inlineStr">
        <is>
          <t>CleanCare</t>
        </is>
      </c>
      <c r="J10" s="2">
        <f>IF(E10&lt;=F10,"REORDER","IN STOCK")</f>
        <v/>
      </c>
      <c r="K10" s="2">
        <f>IF(E10&lt;=F10,"Order "&amp;G10&amp;" "&amp;H10,"No action needed")</f>
        <v/>
      </c>
    </row>
    <row r="11">
      <c r="A11" s="2" t="inlineStr">
        <is>
          <t>ITM010</t>
        </is>
      </c>
      <c r="B11" s="2" t="inlineStr">
        <is>
          <t>Tissue Box</t>
        </is>
      </c>
      <c r="C11" s="2" t="inlineStr">
        <is>
          <t>Cleaning</t>
        </is>
      </c>
      <c r="D11" s="2" t="inlineStr">
        <is>
          <t>Facilities</t>
        </is>
      </c>
      <c r="E11" s="2" t="n">
        <v>35</v>
      </c>
      <c r="F11" s="2" t="n">
        <v>12</v>
      </c>
      <c r="G11" s="2" t="n">
        <v>8</v>
      </c>
      <c r="H11" s="2" t="inlineStr">
        <is>
          <t>boxes</t>
        </is>
      </c>
      <c r="I11" s="2" t="inlineStr">
        <is>
          <t>CleanCare</t>
        </is>
      </c>
      <c r="J11" s="2">
        <f>IF(E11&lt;=F11,"REORDER","IN STOCK")</f>
        <v/>
      </c>
      <c r="K11" s="2">
        <f>IF(E11&lt;=F11,"Order "&amp;G11&amp;" "&amp;H11,"No action needed")</f>
        <v/>
      </c>
    </row>
    <row r="12">
      <c r="A12" s="2" t="inlineStr">
        <is>
          <t>ITM011</t>
        </is>
      </c>
      <c r="B12" s="2" t="inlineStr">
        <is>
          <t>Coffee Powder</t>
        </is>
      </c>
      <c r="C12" s="2" t="inlineStr">
        <is>
          <t>Pantry</t>
        </is>
      </c>
      <c r="D12" s="2" t="inlineStr">
        <is>
          <t>Pantry</t>
        </is>
      </c>
      <c r="E12" s="2" t="n">
        <v>9</v>
      </c>
      <c r="F12" s="2" t="n">
        <v>10</v>
      </c>
      <c r="G12" s="2" t="n">
        <v>14</v>
      </c>
      <c r="H12" s="2" t="inlineStr">
        <is>
          <t>packs</t>
        </is>
      </c>
      <c r="I12" s="2" t="inlineStr">
        <is>
          <t>Fresh Foods</t>
        </is>
      </c>
      <c r="J12" s="2">
        <f>IF(E12&lt;=F12,"REORDER","IN STOCK")</f>
        <v/>
      </c>
      <c r="K12" s="2">
        <f>IF(E12&lt;=F12,"Order "&amp;G12&amp;" "&amp;H12,"No action needed")</f>
        <v/>
      </c>
    </row>
    <row r="13">
      <c r="A13" s="2" t="inlineStr">
        <is>
          <t>ITM012</t>
        </is>
      </c>
      <c r="B13" s="2" t="inlineStr">
        <is>
          <t>Sugar Pack</t>
        </is>
      </c>
      <c r="C13" s="2" t="inlineStr">
        <is>
          <t>Pantry</t>
        </is>
      </c>
      <c r="D13" s="2" t="inlineStr">
        <is>
          <t>Pantry</t>
        </is>
      </c>
      <c r="E13" s="2" t="n">
        <v>28</v>
      </c>
      <c r="F13" s="2" t="n">
        <v>10</v>
      </c>
      <c r="G13" s="2" t="n">
        <v>10</v>
      </c>
      <c r="H13" s="2" t="inlineStr">
        <is>
          <t>packs</t>
        </is>
      </c>
      <c r="I13" s="2" t="inlineStr">
        <is>
          <t>Fresh Foods</t>
        </is>
      </c>
      <c r="J13" s="2">
        <f>IF(E13&lt;=F13,"REORDER","IN STOCK")</f>
        <v/>
      </c>
      <c r="K13" s="2">
        <f>IF(E13&lt;=F13,"Order "&amp;G13&amp;" "&amp;H13,"No action needed")</f>
        <v/>
      </c>
    </row>
    <row r="14">
      <c r="A14" s="2" t="inlineStr">
        <is>
          <t>ITM013</t>
        </is>
      </c>
      <c r="B14" s="2" t="inlineStr">
        <is>
          <t>Extension Board</t>
        </is>
      </c>
      <c r="C14" s="2" t="inlineStr">
        <is>
          <t>Electronics</t>
        </is>
      </c>
      <c r="D14" s="2" t="inlineStr">
        <is>
          <t>IT Accessories</t>
        </is>
      </c>
      <c r="E14" s="2" t="n">
        <v>5</v>
      </c>
      <c r="F14" s="2" t="n">
        <v>6</v>
      </c>
      <c r="G14" s="2" t="n">
        <v>12</v>
      </c>
      <c r="H14" s="2" t="inlineStr">
        <is>
          <t>pcs</t>
        </is>
      </c>
      <c r="I14" s="2" t="inlineStr">
        <is>
          <t>Tech Supplier</t>
        </is>
      </c>
      <c r="J14" s="2">
        <f>IF(E14&lt;=F14,"REORDER","IN STOCK")</f>
        <v/>
      </c>
      <c r="K14" s="2">
        <f>IF(E14&lt;=F14,"Order "&amp;G14&amp;" "&amp;H14,"No action needed")</f>
        <v/>
      </c>
    </row>
    <row r="15">
      <c r="A15" s="2" t="inlineStr">
        <is>
          <t>ITM014</t>
        </is>
      </c>
      <c r="B15" s="2" t="inlineStr">
        <is>
          <t>File Folder</t>
        </is>
      </c>
      <c r="C15" s="2" t="inlineStr">
        <is>
          <t>Stationery</t>
        </is>
      </c>
      <c r="D15" s="2" t="inlineStr">
        <is>
          <t>Office Supplies</t>
        </is>
      </c>
      <c r="E15" s="2" t="n">
        <v>16</v>
      </c>
      <c r="F15" s="2" t="n">
        <v>10</v>
      </c>
      <c r="G15" s="2" t="n">
        <v>20</v>
      </c>
      <c r="H15" s="2" t="inlineStr">
        <is>
          <t>pcs</t>
        </is>
      </c>
      <c r="I15" s="2" t="inlineStr">
        <is>
          <t>Office Mart</t>
        </is>
      </c>
      <c r="J15" s="2">
        <f>IF(E15&lt;=F15,"REORDER","IN STOCK")</f>
        <v/>
      </c>
      <c r="K15" s="2">
        <f>IF(E15&lt;=F15,"Order "&amp;G15&amp;" "&amp;H15,"No action needed")</f>
        <v/>
      </c>
    </row>
    <row r="16">
      <c r="A16" s="2" t="inlineStr">
        <is>
          <t>ITM015</t>
        </is>
      </c>
      <c r="B16" s="2" t="inlineStr">
        <is>
          <t>Hand Sanitizer</t>
        </is>
      </c>
      <c r="C16" s="2" t="inlineStr">
        <is>
          <t>Cleaning</t>
        </is>
      </c>
      <c r="D16" s="2" t="inlineStr">
        <is>
          <t>Facilities</t>
        </is>
      </c>
      <c r="E16" s="2" t="n">
        <v>11</v>
      </c>
      <c r="F16" s="2" t="n">
        <v>8</v>
      </c>
      <c r="G16" s="2" t="n">
        <v>10</v>
      </c>
      <c r="H16" s="2" t="inlineStr">
        <is>
          <t>bottles</t>
        </is>
      </c>
      <c r="I16" s="2" t="inlineStr">
        <is>
          <t>CleanCare</t>
        </is>
      </c>
      <c r="J16" s="2">
        <f>IF(E16&lt;=F16,"REORDER","IN STOCK")</f>
        <v/>
      </c>
      <c r="K16" s="2">
        <f>IF(E16&lt;=F16,"Order "&amp;G16&amp;" "&amp;H16,"No action needed")</f>
        <v/>
      </c>
    </row>
  </sheetData>
  <autoFilter ref="A1:K16"/>
  <conditionalFormatting sqref="J2:J16">
    <cfRule type="expression" priority="1" dxfId="0">
      <formula>J2="REORDER"</formula>
    </cfRule>
    <cfRule type="expression" priority="2" dxfId="1">
      <formula>J2="IN STOCK"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5" customWidth="1" min="4" max="4"/>
    <col width="15" customWidth="1" min="5" max="5"/>
    <col width="18" customWidth="1" min="6" max="6"/>
    <col width="12" customWidth="1" min="7" max="7"/>
    <col width="20" customWidth="1" min="8" max="8"/>
    <col width="16" customWidth="1" min="9" max="9"/>
  </cols>
  <sheetData>
    <row r="1">
      <c r="A1" s="3" t="inlineStr">
        <is>
          <t>Item ID</t>
        </is>
      </c>
      <c r="B1" s="3" t="inlineStr">
        <is>
          <t>Item Name</t>
        </is>
      </c>
      <c r="C1" s="3" t="inlineStr">
        <is>
          <t>Category</t>
        </is>
      </c>
      <c r="D1" s="3" t="inlineStr">
        <is>
          <t>Current Stock</t>
        </is>
      </c>
      <c r="E1" s="3" t="inlineStr">
        <is>
          <t>Reorder Level</t>
        </is>
      </c>
      <c r="F1" s="3" t="inlineStr">
        <is>
          <t>Reorder Quantity</t>
        </is>
      </c>
      <c r="G1" s="3" t="inlineStr">
        <is>
          <t>Unit</t>
        </is>
      </c>
      <c r="H1" s="3" t="inlineStr">
        <is>
          <t>Supplier</t>
        </is>
      </c>
      <c r="I1" s="3" t="inlineStr">
        <is>
          <t>Stock Status</t>
        </is>
      </c>
    </row>
    <row r="2">
      <c r="A2">
        <f>IFERROR(INDEX('Inventory Tracker'!A$2:A$16,AGGREGATE(15,6,(ROW('Inventory Tracker'!$E$2:$E$16)-ROW('Inventory Tracker'!$E$2)+1)/('Inventory Tracker'!$E$2:$E$16&lt;='Inventory Tracker'!$F$2:$F$16),ROWS($A$2:A2))),"")</f>
        <v/>
      </c>
      <c r="B2">
        <f>IF($A2="","",INDEX('Inventory Tracker'!$B$2:$B$16,MATCH($A2,'Inventory Tracker'!$A$2:$A$16,0)))</f>
        <v/>
      </c>
      <c r="C2">
        <f>IF($A2="","",INDEX('Inventory Tracker'!$C$2:$C$16,MATCH($A2,'Inventory Tracker'!$A$2:$A$16,0)))</f>
        <v/>
      </c>
      <c r="D2">
        <f>IF($A2="","",INDEX('Inventory Tracker'!$E$2:$E$16,MATCH($A2,'Inventory Tracker'!$A$2:$A$16,0)))</f>
        <v/>
      </c>
      <c r="E2">
        <f>IF($A2="","",INDEX('Inventory Tracker'!$F$2:$F$16,MATCH($A2,'Inventory Tracker'!$A$2:$A$16,0)))</f>
        <v/>
      </c>
      <c r="F2">
        <f>IF($A2="","",INDEX('Inventory Tracker'!$G$2:$G$16,MATCH($A2,'Inventory Tracker'!$A$2:$A$16,0)))</f>
        <v/>
      </c>
      <c r="G2">
        <f>IF($A2="","",INDEX('Inventory Tracker'!$H$2:$H$16,MATCH($A2,'Inventory Tracker'!$A$2:$A$16,0)))</f>
        <v/>
      </c>
      <c r="H2">
        <f>IF($A2="","",INDEX('Inventory Tracker'!$I$2:$I$16,MATCH($A2,'Inventory Tracker'!$A$2:$A$16,0)))</f>
        <v/>
      </c>
      <c r="I2">
        <f>IF($A2="","",INDEX('Inventory Tracker'!$J$2:$J$16,MATCH($A2,'Inventory Tracker'!$A$2:$A$16,0)))</f>
        <v/>
      </c>
    </row>
    <row r="3">
      <c r="A3">
        <f>IFERROR(INDEX('Inventory Tracker'!A$2:A$16,AGGREGATE(15,6,(ROW('Inventory Tracker'!$E$2:$E$16)-ROW('Inventory Tracker'!$E$2)+1)/('Inventory Tracker'!$E$2:$E$16&lt;='Inventory Tracker'!$F$2:$F$16),ROWS($A$2:A3))),"")</f>
        <v/>
      </c>
      <c r="B3">
        <f>IF($A3="","",INDEX('Inventory Tracker'!$B$2:$B$16,MATCH($A3,'Inventory Tracker'!$A$2:$A$16,0)))</f>
        <v/>
      </c>
      <c r="C3">
        <f>IF($A3="","",INDEX('Inventory Tracker'!$C$2:$C$16,MATCH($A3,'Inventory Tracker'!$A$2:$A$16,0)))</f>
        <v/>
      </c>
      <c r="D3">
        <f>IF($A3="","",INDEX('Inventory Tracker'!$E$2:$E$16,MATCH($A3,'Inventory Tracker'!$A$2:$A$16,0)))</f>
        <v/>
      </c>
      <c r="E3">
        <f>IF($A3="","",INDEX('Inventory Tracker'!$F$2:$F$16,MATCH($A3,'Inventory Tracker'!$A$2:$A$16,0)))</f>
        <v/>
      </c>
      <c r="F3">
        <f>IF($A3="","",INDEX('Inventory Tracker'!$G$2:$G$16,MATCH($A3,'Inventory Tracker'!$A$2:$A$16,0)))</f>
        <v/>
      </c>
      <c r="G3">
        <f>IF($A3="","",INDEX('Inventory Tracker'!$H$2:$H$16,MATCH($A3,'Inventory Tracker'!$A$2:$A$16,0)))</f>
        <v/>
      </c>
      <c r="H3">
        <f>IF($A3="","",INDEX('Inventory Tracker'!$I$2:$I$16,MATCH($A3,'Inventory Tracker'!$A$2:$A$16,0)))</f>
        <v/>
      </c>
      <c r="I3">
        <f>IF($A3="","",INDEX('Inventory Tracker'!$J$2:$J$16,MATCH($A3,'Inventory Tracker'!$A$2:$A$16,0)))</f>
        <v/>
      </c>
    </row>
    <row r="4">
      <c r="A4">
        <f>IFERROR(INDEX('Inventory Tracker'!A$2:A$16,AGGREGATE(15,6,(ROW('Inventory Tracker'!$E$2:$E$16)-ROW('Inventory Tracker'!$E$2)+1)/('Inventory Tracker'!$E$2:$E$16&lt;='Inventory Tracker'!$F$2:$F$16),ROWS($A$2:A4))),"")</f>
        <v/>
      </c>
      <c r="B4">
        <f>IF($A4="","",INDEX('Inventory Tracker'!$B$2:$B$16,MATCH($A4,'Inventory Tracker'!$A$2:$A$16,0)))</f>
        <v/>
      </c>
      <c r="C4">
        <f>IF($A4="","",INDEX('Inventory Tracker'!$C$2:$C$16,MATCH($A4,'Inventory Tracker'!$A$2:$A$16,0)))</f>
        <v/>
      </c>
      <c r="D4">
        <f>IF($A4="","",INDEX('Inventory Tracker'!$E$2:$E$16,MATCH($A4,'Inventory Tracker'!$A$2:$A$16,0)))</f>
        <v/>
      </c>
      <c r="E4">
        <f>IF($A4="","",INDEX('Inventory Tracker'!$F$2:$F$16,MATCH($A4,'Inventory Tracker'!$A$2:$A$16,0)))</f>
        <v/>
      </c>
      <c r="F4">
        <f>IF($A4="","",INDEX('Inventory Tracker'!$G$2:$G$16,MATCH($A4,'Inventory Tracker'!$A$2:$A$16,0)))</f>
        <v/>
      </c>
      <c r="G4">
        <f>IF($A4="","",INDEX('Inventory Tracker'!$H$2:$H$16,MATCH($A4,'Inventory Tracker'!$A$2:$A$16,0)))</f>
        <v/>
      </c>
      <c r="H4">
        <f>IF($A4="","",INDEX('Inventory Tracker'!$I$2:$I$16,MATCH($A4,'Inventory Tracker'!$A$2:$A$16,0)))</f>
        <v/>
      </c>
      <c r="I4">
        <f>IF($A4="","",INDEX('Inventory Tracker'!$J$2:$J$16,MATCH($A4,'Inventory Tracker'!$A$2:$A$16,0)))</f>
        <v/>
      </c>
    </row>
    <row r="5">
      <c r="A5">
        <f>IFERROR(INDEX('Inventory Tracker'!A$2:A$16,AGGREGATE(15,6,(ROW('Inventory Tracker'!$E$2:$E$16)-ROW('Inventory Tracker'!$E$2)+1)/('Inventory Tracker'!$E$2:$E$16&lt;='Inventory Tracker'!$F$2:$F$16),ROWS($A$2:A5))),"")</f>
        <v/>
      </c>
      <c r="B5">
        <f>IF($A5="","",INDEX('Inventory Tracker'!$B$2:$B$16,MATCH($A5,'Inventory Tracker'!$A$2:$A$16,0)))</f>
        <v/>
      </c>
      <c r="C5">
        <f>IF($A5="","",INDEX('Inventory Tracker'!$C$2:$C$16,MATCH($A5,'Inventory Tracker'!$A$2:$A$16,0)))</f>
        <v/>
      </c>
      <c r="D5">
        <f>IF($A5="","",INDEX('Inventory Tracker'!$E$2:$E$16,MATCH($A5,'Inventory Tracker'!$A$2:$A$16,0)))</f>
        <v/>
      </c>
      <c r="E5">
        <f>IF($A5="","",INDEX('Inventory Tracker'!$F$2:$F$16,MATCH($A5,'Inventory Tracker'!$A$2:$A$16,0)))</f>
        <v/>
      </c>
      <c r="F5">
        <f>IF($A5="","",INDEX('Inventory Tracker'!$G$2:$G$16,MATCH($A5,'Inventory Tracker'!$A$2:$A$16,0)))</f>
        <v/>
      </c>
      <c r="G5">
        <f>IF($A5="","",INDEX('Inventory Tracker'!$H$2:$H$16,MATCH($A5,'Inventory Tracker'!$A$2:$A$16,0)))</f>
        <v/>
      </c>
      <c r="H5">
        <f>IF($A5="","",INDEX('Inventory Tracker'!$I$2:$I$16,MATCH($A5,'Inventory Tracker'!$A$2:$A$16,0)))</f>
        <v/>
      </c>
      <c r="I5">
        <f>IF($A5="","",INDEX('Inventory Tracker'!$J$2:$J$16,MATCH($A5,'Inventory Tracker'!$A$2:$A$16,0)))</f>
        <v/>
      </c>
    </row>
    <row r="6">
      <c r="A6">
        <f>IFERROR(INDEX('Inventory Tracker'!A$2:A$16,AGGREGATE(15,6,(ROW('Inventory Tracker'!$E$2:$E$16)-ROW('Inventory Tracker'!$E$2)+1)/('Inventory Tracker'!$E$2:$E$16&lt;='Inventory Tracker'!$F$2:$F$16),ROWS($A$2:A6))),"")</f>
        <v/>
      </c>
      <c r="B6">
        <f>IF($A6="","",INDEX('Inventory Tracker'!$B$2:$B$16,MATCH($A6,'Inventory Tracker'!$A$2:$A$16,0)))</f>
        <v/>
      </c>
      <c r="C6">
        <f>IF($A6="","",INDEX('Inventory Tracker'!$C$2:$C$16,MATCH($A6,'Inventory Tracker'!$A$2:$A$16,0)))</f>
        <v/>
      </c>
      <c r="D6">
        <f>IF($A6="","",INDEX('Inventory Tracker'!$E$2:$E$16,MATCH($A6,'Inventory Tracker'!$A$2:$A$16,0)))</f>
        <v/>
      </c>
      <c r="E6">
        <f>IF($A6="","",INDEX('Inventory Tracker'!$F$2:$F$16,MATCH($A6,'Inventory Tracker'!$A$2:$A$16,0)))</f>
        <v/>
      </c>
      <c r="F6">
        <f>IF($A6="","",INDEX('Inventory Tracker'!$G$2:$G$16,MATCH($A6,'Inventory Tracker'!$A$2:$A$16,0)))</f>
        <v/>
      </c>
      <c r="G6">
        <f>IF($A6="","",INDEX('Inventory Tracker'!$H$2:$H$16,MATCH($A6,'Inventory Tracker'!$A$2:$A$16,0)))</f>
        <v/>
      </c>
      <c r="H6">
        <f>IF($A6="","",INDEX('Inventory Tracker'!$I$2:$I$16,MATCH($A6,'Inventory Tracker'!$A$2:$A$16,0)))</f>
        <v/>
      </c>
      <c r="I6">
        <f>IF($A6="","",INDEX('Inventory Tracker'!$J$2:$J$16,MATCH($A6,'Inventory Tracker'!$A$2:$A$16,0)))</f>
        <v/>
      </c>
    </row>
    <row r="7">
      <c r="A7">
        <f>IFERROR(INDEX('Inventory Tracker'!A$2:A$16,AGGREGATE(15,6,(ROW('Inventory Tracker'!$E$2:$E$16)-ROW('Inventory Tracker'!$E$2)+1)/('Inventory Tracker'!$E$2:$E$16&lt;='Inventory Tracker'!$F$2:$F$16),ROWS($A$2:A7))),"")</f>
        <v/>
      </c>
      <c r="B7">
        <f>IF($A7="","",INDEX('Inventory Tracker'!$B$2:$B$16,MATCH($A7,'Inventory Tracker'!$A$2:$A$16,0)))</f>
        <v/>
      </c>
      <c r="C7">
        <f>IF($A7="","",INDEX('Inventory Tracker'!$C$2:$C$16,MATCH($A7,'Inventory Tracker'!$A$2:$A$16,0)))</f>
        <v/>
      </c>
      <c r="D7">
        <f>IF($A7="","",INDEX('Inventory Tracker'!$E$2:$E$16,MATCH($A7,'Inventory Tracker'!$A$2:$A$16,0)))</f>
        <v/>
      </c>
      <c r="E7">
        <f>IF($A7="","",INDEX('Inventory Tracker'!$F$2:$F$16,MATCH($A7,'Inventory Tracker'!$A$2:$A$16,0)))</f>
        <v/>
      </c>
      <c r="F7">
        <f>IF($A7="","",INDEX('Inventory Tracker'!$G$2:$G$16,MATCH($A7,'Inventory Tracker'!$A$2:$A$16,0)))</f>
        <v/>
      </c>
      <c r="G7">
        <f>IF($A7="","",INDEX('Inventory Tracker'!$H$2:$H$16,MATCH($A7,'Inventory Tracker'!$A$2:$A$16,0)))</f>
        <v/>
      </c>
      <c r="H7">
        <f>IF($A7="","",INDEX('Inventory Tracker'!$I$2:$I$16,MATCH($A7,'Inventory Tracker'!$A$2:$A$16,0)))</f>
        <v/>
      </c>
      <c r="I7">
        <f>IF($A7="","",INDEX('Inventory Tracker'!$J$2:$J$16,MATCH($A7,'Inventory Tracker'!$A$2:$A$16,0)))</f>
        <v/>
      </c>
    </row>
    <row r="8">
      <c r="A8">
        <f>IFERROR(INDEX('Inventory Tracker'!A$2:A$16,AGGREGATE(15,6,(ROW('Inventory Tracker'!$E$2:$E$16)-ROW('Inventory Tracker'!$E$2)+1)/('Inventory Tracker'!$E$2:$E$16&lt;='Inventory Tracker'!$F$2:$F$16),ROWS($A$2:A8))),"")</f>
        <v/>
      </c>
      <c r="B8">
        <f>IF($A8="","",INDEX('Inventory Tracker'!$B$2:$B$16,MATCH($A8,'Inventory Tracker'!$A$2:$A$16,0)))</f>
        <v/>
      </c>
      <c r="C8">
        <f>IF($A8="","",INDEX('Inventory Tracker'!$C$2:$C$16,MATCH($A8,'Inventory Tracker'!$A$2:$A$16,0)))</f>
        <v/>
      </c>
      <c r="D8">
        <f>IF($A8="","",INDEX('Inventory Tracker'!$E$2:$E$16,MATCH($A8,'Inventory Tracker'!$A$2:$A$16,0)))</f>
        <v/>
      </c>
      <c r="E8">
        <f>IF($A8="","",INDEX('Inventory Tracker'!$F$2:$F$16,MATCH($A8,'Inventory Tracker'!$A$2:$A$16,0)))</f>
        <v/>
      </c>
      <c r="F8">
        <f>IF($A8="","",INDEX('Inventory Tracker'!$G$2:$G$16,MATCH($A8,'Inventory Tracker'!$A$2:$A$16,0)))</f>
        <v/>
      </c>
      <c r="G8">
        <f>IF($A8="","",INDEX('Inventory Tracker'!$H$2:$H$16,MATCH($A8,'Inventory Tracker'!$A$2:$A$16,0)))</f>
        <v/>
      </c>
      <c r="H8">
        <f>IF($A8="","",INDEX('Inventory Tracker'!$I$2:$I$16,MATCH($A8,'Inventory Tracker'!$A$2:$A$16,0)))</f>
        <v/>
      </c>
      <c r="I8">
        <f>IF($A8="","",INDEX('Inventory Tracker'!$J$2:$J$16,MATCH($A8,'Inventory Tracker'!$A$2:$A$16,0)))</f>
        <v/>
      </c>
    </row>
    <row r="9">
      <c r="A9">
        <f>IFERROR(INDEX('Inventory Tracker'!A$2:A$16,AGGREGATE(15,6,(ROW('Inventory Tracker'!$E$2:$E$16)-ROW('Inventory Tracker'!$E$2)+1)/('Inventory Tracker'!$E$2:$E$16&lt;='Inventory Tracker'!$F$2:$F$16),ROWS($A$2:A9))),"")</f>
        <v/>
      </c>
      <c r="B9">
        <f>IF($A9="","",INDEX('Inventory Tracker'!$B$2:$B$16,MATCH($A9,'Inventory Tracker'!$A$2:$A$16,0)))</f>
        <v/>
      </c>
      <c r="C9">
        <f>IF($A9="","",INDEX('Inventory Tracker'!$C$2:$C$16,MATCH($A9,'Inventory Tracker'!$A$2:$A$16,0)))</f>
        <v/>
      </c>
      <c r="D9">
        <f>IF($A9="","",INDEX('Inventory Tracker'!$E$2:$E$16,MATCH($A9,'Inventory Tracker'!$A$2:$A$16,0)))</f>
        <v/>
      </c>
      <c r="E9">
        <f>IF($A9="","",INDEX('Inventory Tracker'!$F$2:$F$16,MATCH($A9,'Inventory Tracker'!$A$2:$A$16,0)))</f>
        <v/>
      </c>
      <c r="F9">
        <f>IF($A9="","",INDEX('Inventory Tracker'!$G$2:$G$16,MATCH($A9,'Inventory Tracker'!$A$2:$A$16,0)))</f>
        <v/>
      </c>
      <c r="G9">
        <f>IF($A9="","",INDEX('Inventory Tracker'!$H$2:$H$16,MATCH($A9,'Inventory Tracker'!$A$2:$A$16,0)))</f>
        <v/>
      </c>
      <c r="H9">
        <f>IF($A9="","",INDEX('Inventory Tracker'!$I$2:$I$16,MATCH($A9,'Inventory Tracker'!$A$2:$A$16,0)))</f>
        <v/>
      </c>
      <c r="I9">
        <f>IF($A9="","",INDEX('Inventory Tracker'!$J$2:$J$16,MATCH($A9,'Inventory Tracker'!$A$2:$A$16,0)))</f>
        <v/>
      </c>
    </row>
    <row r="10">
      <c r="A10">
        <f>IFERROR(INDEX('Inventory Tracker'!A$2:A$16,AGGREGATE(15,6,(ROW('Inventory Tracker'!$E$2:$E$16)-ROW('Inventory Tracker'!$E$2)+1)/('Inventory Tracker'!$E$2:$E$16&lt;='Inventory Tracker'!$F$2:$F$16),ROWS($A$2:A10))),"")</f>
        <v/>
      </c>
      <c r="B10">
        <f>IF($A10="","",INDEX('Inventory Tracker'!$B$2:$B$16,MATCH($A10,'Inventory Tracker'!$A$2:$A$16,0)))</f>
        <v/>
      </c>
      <c r="C10">
        <f>IF($A10="","",INDEX('Inventory Tracker'!$C$2:$C$16,MATCH($A10,'Inventory Tracker'!$A$2:$A$16,0)))</f>
        <v/>
      </c>
      <c r="D10">
        <f>IF($A10="","",INDEX('Inventory Tracker'!$E$2:$E$16,MATCH($A10,'Inventory Tracker'!$A$2:$A$16,0)))</f>
        <v/>
      </c>
      <c r="E10">
        <f>IF($A10="","",INDEX('Inventory Tracker'!$F$2:$F$16,MATCH($A10,'Inventory Tracker'!$A$2:$A$16,0)))</f>
        <v/>
      </c>
      <c r="F10">
        <f>IF($A10="","",INDEX('Inventory Tracker'!$G$2:$G$16,MATCH($A10,'Inventory Tracker'!$A$2:$A$16,0)))</f>
        <v/>
      </c>
      <c r="G10">
        <f>IF($A10="","",INDEX('Inventory Tracker'!$H$2:$H$16,MATCH($A10,'Inventory Tracker'!$A$2:$A$16,0)))</f>
        <v/>
      </c>
      <c r="H10">
        <f>IF($A10="","",INDEX('Inventory Tracker'!$I$2:$I$16,MATCH($A10,'Inventory Tracker'!$A$2:$A$16,0)))</f>
        <v/>
      </c>
      <c r="I10">
        <f>IF($A10="","",INDEX('Inventory Tracker'!$J$2:$J$16,MATCH($A10,'Inventory Tracker'!$A$2:$A$16,0)))</f>
        <v/>
      </c>
    </row>
    <row r="11">
      <c r="A11">
        <f>IFERROR(INDEX('Inventory Tracker'!A$2:A$16,AGGREGATE(15,6,(ROW('Inventory Tracker'!$E$2:$E$16)-ROW('Inventory Tracker'!$E$2)+1)/('Inventory Tracker'!$E$2:$E$16&lt;='Inventory Tracker'!$F$2:$F$16),ROWS($A$2:A11))),"")</f>
        <v/>
      </c>
      <c r="B11">
        <f>IF($A11="","",INDEX('Inventory Tracker'!$B$2:$B$16,MATCH($A11,'Inventory Tracker'!$A$2:$A$16,0)))</f>
        <v/>
      </c>
      <c r="C11">
        <f>IF($A11="","",INDEX('Inventory Tracker'!$C$2:$C$16,MATCH($A11,'Inventory Tracker'!$A$2:$A$16,0)))</f>
        <v/>
      </c>
      <c r="D11">
        <f>IF($A11="","",INDEX('Inventory Tracker'!$E$2:$E$16,MATCH($A11,'Inventory Tracker'!$A$2:$A$16,0)))</f>
        <v/>
      </c>
      <c r="E11">
        <f>IF($A11="","",INDEX('Inventory Tracker'!$F$2:$F$16,MATCH($A11,'Inventory Tracker'!$A$2:$A$16,0)))</f>
        <v/>
      </c>
      <c r="F11">
        <f>IF($A11="","",INDEX('Inventory Tracker'!$G$2:$G$16,MATCH($A11,'Inventory Tracker'!$A$2:$A$16,0)))</f>
        <v/>
      </c>
      <c r="G11">
        <f>IF($A11="","",INDEX('Inventory Tracker'!$H$2:$H$16,MATCH($A11,'Inventory Tracker'!$A$2:$A$16,0)))</f>
        <v/>
      </c>
      <c r="H11">
        <f>IF($A11="","",INDEX('Inventory Tracker'!$I$2:$I$16,MATCH($A11,'Inventory Tracker'!$A$2:$A$16,0)))</f>
        <v/>
      </c>
      <c r="I11">
        <f>IF($A11="","",INDEX('Inventory Tracker'!$J$2:$J$16,MATCH($A11,'Inventory Tracker'!$A$2:$A$16,0)))</f>
        <v/>
      </c>
    </row>
    <row r="12">
      <c r="A12">
        <f>IFERROR(INDEX('Inventory Tracker'!A$2:A$16,AGGREGATE(15,6,(ROW('Inventory Tracker'!$E$2:$E$16)-ROW('Inventory Tracker'!$E$2)+1)/('Inventory Tracker'!$E$2:$E$16&lt;='Inventory Tracker'!$F$2:$F$16),ROWS($A$2:A12))),"")</f>
        <v/>
      </c>
      <c r="B12">
        <f>IF($A12="","",INDEX('Inventory Tracker'!$B$2:$B$16,MATCH($A12,'Inventory Tracker'!$A$2:$A$16,0)))</f>
        <v/>
      </c>
      <c r="C12">
        <f>IF($A12="","",INDEX('Inventory Tracker'!$C$2:$C$16,MATCH($A12,'Inventory Tracker'!$A$2:$A$16,0)))</f>
        <v/>
      </c>
      <c r="D12">
        <f>IF($A12="","",INDEX('Inventory Tracker'!$E$2:$E$16,MATCH($A12,'Inventory Tracker'!$A$2:$A$16,0)))</f>
        <v/>
      </c>
      <c r="E12">
        <f>IF($A12="","",INDEX('Inventory Tracker'!$F$2:$F$16,MATCH($A12,'Inventory Tracker'!$A$2:$A$16,0)))</f>
        <v/>
      </c>
      <c r="F12">
        <f>IF($A12="","",INDEX('Inventory Tracker'!$G$2:$G$16,MATCH($A12,'Inventory Tracker'!$A$2:$A$16,0)))</f>
        <v/>
      </c>
      <c r="G12">
        <f>IF($A12="","",INDEX('Inventory Tracker'!$H$2:$H$16,MATCH($A12,'Inventory Tracker'!$A$2:$A$16,0)))</f>
        <v/>
      </c>
      <c r="H12">
        <f>IF($A12="","",INDEX('Inventory Tracker'!$I$2:$I$16,MATCH($A12,'Inventory Tracker'!$A$2:$A$16,0)))</f>
        <v/>
      </c>
      <c r="I12">
        <f>IF($A12="","",INDEX('Inventory Tracker'!$J$2:$J$16,MATCH($A12,'Inventory Tracker'!$A$2:$A$16,0)))</f>
        <v/>
      </c>
    </row>
    <row r="13">
      <c r="A13">
        <f>IFERROR(INDEX('Inventory Tracker'!A$2:A$16,AGGREGATE(15,6,(ROW('Inventory Tracker'!$E$2:$E$16)-ROW('Inventory Tracker'!$E$2)+1)/('Inventory Tracker'!$E$2:$E$16&lt;='Inventory Tracker'!$F$2:$F$16),ROWS($A$2:A13))),"")</f>
        <v/>
      </c>
      <c r="B13">
        <f>IF($A13="","",INDEX('Inventory Tracker'!$B$2:$B$16,MATCH($A13,'Inventory Tracker'!$A$2:$A$16,0)))</f>
        <v/>
      </c>
      <c r="C13">
        <f>IF($A13="","",INDEX('Inventory Tracker'!$C$2:$C$16,MATCH($A13,'Inventory Tracker'!$A$2:$A$16,0)))</f>
        <v/>
      </c>
      <c r="D13">
        <f>IF($A13="","",INDEX('Inventory Tracker'!$E$2:$E$16,MATCH($A13,'Inventory Tracker'!$A$2:$A$16,0)))</f>
        <v/>
      </c>
      <c r="E13">
        <f>IF($A13="","",INDEX('Inventory Tracker'!$F$2:$F$16,MATCH($A13,'Inventory Tracker'!$A$2:$A$16,0)))</f>
        <v/>
      </c>
      <c r="F13">
        <f>IF($A13="","",INDEX('Inventory Tracker'!$G$2:$G$16,MATCH($A13,'Inventory Tracker'!$A$2:$A$16,0)))</f>
        <v/>
      </c>
      <c r="G13">
        <f>IF($A13="","",INDEX('Inventory Tracker'!$H$2:$H$16,MATCH($A13,'Inventory Tracker'!$A$2:$A$16,0)))</f>
        <v/>
      </c>
      <c r="H13">
        <f>IF($A13="","",INDEX('Inventory Tracker'!$I$2:$I$16,MATCH($A13,'Inventory Tracker'!$A$2:$A$16,0)))</f>
        <v/>
      </c>
      <c r="I13">
        <f>IF($A13="","",INDEX('Inventory Tracker'!$J$2:$J$16,MATCH($A13,'Inventory Tracker'!$A$2:$A$16,0)))</f>
        <v/>
      </c>
    </row>
    <row r="14">
      <c r="A14">
        <f>IFERROR(INDEX('Inventory Tracker'!A$2:A$16,AGGREGATE(15,6,(ROW('Inventory Tracker'!$E$2:$E$16)-ROW('Inventory Tracker'!$E$2)+1)/('Inventory Tracker'!$E$2:$E$16&lt;='Inventory Tracker'!$F$2:$F$16),ROWS($A$2:A14))),"")</f>
        <v/>
      </c>
      <c r="B14">
        <f>IF($A14="","",INDEX('Inventory Tracker'!$B$2:$B$16,MATCH($A14,'Inventory Tracker'!$A$2:$A$16,0)))</f>
        <v/>
      </c>
      <c r="C14">
        <f>IF($A14="","",INDEX('Inventory Tracker'!$C$2:$C$16,MATCH($A14,'Inventory Tracker'!$A$2:$A$16,0)))</f>
        <v/>
      </c>
      <c r="D14">
        <f>IF($A14="","",INDEX('Inventory Tracker'!$E$2:$E$16,MATCH($A14,'Inventory Tracker'!$A$2:$A$16,0)))</f>
        <v/>
      </c>
      <c r="E14">
        <f>IF($A14="","",INDEX('Inventory Tracker'!$F$2:$F$16,MATCH($A14,'Inventory Tracker'!$A$2:$A$16,0)))</f>
        <v/>
      </c>
      <c r="F14">
        <f>IF($A14="","",INDEX('Inventory Tracker'!$G$2:$G$16,MATCH($A14,'Inventory Tracker'!$A$2:$A$16,0)))</f>
        <v/>
      </c>
      <c r="G14">
        <f>IF($A14="","",INDEX('Inventory Tracker'!$H$2:$H$16,MATCH($A14,'Inventory Tracker'!$A$2:$A$16,0)))</f>
        <v/>
      </c>
      <c r="H14">
        <f>IF($A14="","",INDEX('Inventory Tracker'!$I$2:$I$16,MATCH($A14,'Inventory Tracker'!$A$2:$A$16,0)))</f>
        <v/>
      </c>
      <c r="I14">
        <f>IF($A14="","",INDEX('Inventory Tracker'!$J$2:$J$16,MATCH($A14,'Inventory Tracker'!$A$2:$A$16,0)))</f>
        <v/>
      </c>
    </row>
    <row r="15">
      <c r="A15">
        <f>IFERROR(INDEX('Inventory Tracker'!A$2:A$16,AGGREGATE(15,6,(ROW('Inventory Tracker'!$E$2:$E$16)-ROW('Inventory Tracker'!$E$2)+1)/('Inventory Tracker'!$E$2:$E$16&lt;='Inventory Tracker'!$F$2:$F$16),ROWS($A$2:A15))),"")</f>
        <v/>
      </c>
      <c r="B15">
        <f>IF($A15="","",INDEX('Inventory Tracker'!$B$2:$B$16,MATCH($A15,'Inventory Tracker'!$A$2:$A$16,0)))</f>
        <v/>
      </c>
      <c r="C15">
        <f>IF($A15="","",INDEX('Inventory Tracker'!$C$2:$C$16,MATCH($A15,'Inventory Tracker'!$A$2:$A$16,0)))</f>
        <v/>
      </c>
      <c r="D15">
        <f>IF($A15="","",INDEX('Inventory Tracker'!$E$2:$E$16,MATCH($A15,'Inventory Tracker'!$A$2:$A$16,0)))</f>
        <v/>
      </c>
      <c r="E15">
        <f>IF($A15="","",INDEX('Inventory Tracker'!$F$2:$F$16,MATCH($A15,'Inventory Tracker'!$A$2:$A$16,0)))</f>
        <v/>
      </c>
      <c r="F15">
        <f>IF($A15="","",INDEX('Inventory Tracker'!$G$2:$G$16,MATCH($A15,'Inventory Tracker'!$A$2:$A$16,0)))</f>
        <v/>
      </c>
      <c r="G15">
        <f>IF($A15="","",INDEX('Inventory Tracker'!$H$2:$H$16,MATCH($A15,'Inventory Tracker'!$A$2:$A$16,0)))</f>
        <v/>
      </c>
      <c r="H15">
        <f>IF($A15="","",INDEX('Inventory Tracker'!$I$2:$I$16,MATCH($A15,'Inventory Tracker'!$A$2:$A$16,0)))</f>
        <v/>
      </c>
      <c r="I15">
        <f>IF($A15="","",INDEX('Inventory Tracker'!$J$2:$J$16,MATCH($A15,'Inventory Tracker'!$A$2:$A$16,0)))</f>
        <v/>
      </c>
    </row>
    <row r="16">
      <c r="A16">
        <f>IFERROR(INDEX('Inventory Tracker'!A$2:A$16,AGGREGATE(15,6,(ROW('Inventory Tracker'!$E$2:$E$16)-ROW('Inventory Tracker'!$E$2)+1)/('Inventory Tracker'!$E$2:$E$16&lt;='Inventory Tracker'!$F$2:$F$16),ROWS($A$2:A16))),"")</f>
        <v/>
      </c>
      <c r="B16">
        <f>IF($A16="","",INDEX('Inventory Tracker'!$B$2:$B$16,MATCH($A16,'Inventory Tracker'!$A$2:$A$16,0)))</f>
        <v/>
      </c>
      <c r="C16">
        <f>IF($A16="","",INDEX('Inventory Tracker'!$C$2:$C$16,MATCH($A16,'Inventory Tracker'!$A$2:$A$16,0)))</f>
        <v/>
      </c>
      <c r="D16">
        <f>IF($A16="","",INDEX('Inventory Tracker'!$E$2:$E$16,MATCH($A16,'Inventory Tracker'!$A$2:$A$16,0)))</f>
        <v/>
      </c>
      <c r="E16">
        <f>IF($A16="","",INDEX('Inventory Tracker'!$F$2:$F$16,MATCH($A16,'Inventory Tracker'!$A$2:$A$16,0)))</f>
        <v/>
      </c>
      <c r="F16">
        <f>IF($A16="","",INDEX('Inventory Tracker'!$G$2:$G$16,MATCH($A16,'Inventory Tracker'!$A$2:$A$16,0)))</f>
        <v/>
      </c>
      <c r="G16">
        <f>IF($A16="","",INDEX('Inventory Tracker'!$H$2:$H$16,MATCH($A16,'Inventory Tracker'!$A$2:$A$16,0)))</f>
        <v/>
      </c>
      <c r="H16">
        <f>IF($A16="","",INDEX('Inventory Tracker'!$I$2:$I$16,MATCH($A16,'Inventory Tracker'!$A$2:$A$16,0)))</f>
        <v/>
      </c>
      <c r="I16">
        <f>IF($A16="","",INDEX('Inventory Tracker'!$J$2:$J$16,MATCH($A16,'Inventory Tracker'!$A$2:$A$16,0)))</f>
        <v/>
      </c>
    </row>
  </sheetData>
  <autoFilter ref="A1:I16"/>
  <conditionalFormatting sqref="I2:I16">
    <cfRule type="expression" priority="1" dxfId="0">
      <formula>I2="REORDER"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5" customWidth="1" min="1" max="1"/>
    <col width="2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unique items</t>
        </is>
      </c>
      <c r="B2">
        <f>COUNTA('Inventory Tracker'!A2:A16)</f>
        <v/>
      </c>
    </row>
    <row r="3">
      <c r="A3" t="inlineStr">
        <is>
          <t>Items requiring reorder</t>
        </is>
      </c>
      <c r="B3">
        <f>COUNTIF('Inventory Tracker'!J2:J16,"REORDER")</f>
        <v/>
      </c>
    </row>
    <row r="4">
      <c r="A4" t="inlineStr">
        <is>
          <t>Items in stock</t>
        </is>
      </c>
      <c r="B4">
        <f>COUNTIF('Inventory Tracker'!J2:J16,"IN STOCK")</f>
        <v/>
      </c>
    </row>
    <row r="5">
      <c r="A5" t="inlineStr">
        <is>
          <t>Total units in current stock</t>
        </is>
      </c>
      <c r="B5">
        <f>SUM('Inventory Tracker'!E2:E16)</f>
        <v/>
      </c>
    </row>
    <row r="6">
      <c r="A6" t="inlineStr">
        <is>
          <t>Items at or below reorder level</t>
        </is>
      </c>
      <c r="B6">
        <f>COUNTIF('Inventory Tracker'!J2:J16,"REORDER")</f>
        <v/>
      </c>
    </row>
    <row r="8">
      <c r="A8" s="4" t="inlineStr">
        <is>
          <t>How to use</t>
        </is>
      </c>
    </row>
    <row r="9">
      <c r="A9" s="5" t="inlineStr">
        <is>
          <t>Update Current Stock and Reorder Level in the Inventory Tracker sheet.</t>
        </is>
      </c>
    </row>
    <row r="10">
      <c r="A10" s="5" t="inlineStr">
        <is>
          <t>Stock Status and Recommended Action update from the IF formulas.</t>
        </is>
      </c>
    </row>
    <row r="11">
      <c r="A11" s="5" t="inlineStr">
        <is>
          <t>Items marked REORDER should be highlighted and checked with the supplier.</t>
        </is>
      </c>
    </row>
  </sheetData>
  <mergeCells count="3">
    <mergeCell ref="A9:B9"/>
    <mergeCell ref="A11:B1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2026-10-19T15:54:22Z</dcterms:created>
  <dcterms:modified xmlns:dcterms="http://purl.org/dc/terms/" xmlns:xsi="http://www.w3.org/2001/XMLSchema-instance" xsi:type="dcterms:W3CDTF">2026-10-19T15:54:22Z</dcterms:modified>
</cp:coreProperties>
</file>